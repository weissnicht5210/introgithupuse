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서울급여명단" sheetId="4" state="visible" r:id="rId4"/>
    <sheet xmlns:r="http://schemas.openxmlformats.org/officeDocument/2006/relationships" name="출력_연속근무" sheetId="5" state="visible" r:id="rId5"/>
    <sheet xmlns:r="http://schemas.openxmlformats.org/officeDocument/2006/relationships" name="출력_서울급여판정" sheetId="6" state="visible" r:id="rId6"/>
    <sheet xmlns:r="http://schemas.openxmlformats.org/officeDocument/2006/relationships" name="설정" sheetId="7" state="visible" r:id="rId7"/>
  </sheets>
  <definedNames>
    <definedName name="연속허용분">'설정'!$B$2</definedName>
    <definedName name="공휴일목록">공휴일표[날짜]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0" fontId="6" fillId="5" borderId="1" pivotButton="0" quotePrefix="0" xfId="0"/>
    <xf numFmtId="165" fontId="6" fillId="5" borderId="1" pivotButton="0" quotePrefix="0" xfId="0"/>
    <xf numFmtId="1" fontId="6" fillId="5" borderId="1" pivotButton="0" quotePrefix="0" xfId="0"/>
    <xf numFmtId="2" fontId="6" fillId="5" borderId="1" pivotButton="0" quotePrefix="0" xfId="0"/>
    <xf numFmtId="49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bgColor rgb="00FFC7CE"/>
        </patternFill>
      </fill>
    </dxf>
    <dxf>
      <fill>
        <patternFill patternType="solid">
          <bgColor rgb="00FCE4D6"/>
        </patternFill>
      </fill>
    </dxf>
    <dxf>
      <font>
        <name val="맑은 고딕"/>
        <b val="1"/>
        <color rgb="001F3864"/>
      </font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상세표" displayName="상세표" ref="A4:Z12" headerRowCount="1">
  <tableColumns count="26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사번키">
      <calculatedColumnFormula>IF(TRIM(상세표[[#This Row],[사번]]&amp;"")="","","S|"&amp;TRIM(상세표[[#This Row],[사번]]&amp;""))</calculatedColumnFormula>
    </tableColumn>
    <tableColumn id="13" name="시작">
      <calculatedColumnFormula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4" name="종료">
      <calculatedColumnFormula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5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6" name="블록시작">
      <calculatedColumnFormula>IF(AND(ISNUMBER(상세표[[#This Row],[시작]]),ISNUMBER(상세표[[#This Row],[종료]]),상세표[[#This Row],[이어짐]]=""),1,0)</calculatedColumnFormula>
    </tableColumn>
    <tableColumn id="17" name="다음블록시작">
      <calculatedColumnFormula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calculatedColumnFormula>
    </tableColumn>
    <tableColumn id="18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19" name="연속 시간">
      <calculatedColumnFormula>IF(상세표[[#This Row],[블록시작]]&lt;&gt;1,"",ROUND((상세표[[#This Row],[블록종료]]-상세표[[#This Row],[시작]])*24,2))</calculatedColumnFormula>
    </tableColumn>
    <tableColumn id="20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1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주말·휴일 포함">
      <calculatedColumnFormula>IF(상세표[[#This Row],[블록시작]]&lt;&gt;1,"",_xlfn.LET(_xlpm.v_a,INT(상세표[[#This Row],[시작]]),_xlpm.v_b,INT(상세표[[#This Row],[블록종료]]-1/86400),IF((_xlpm.v_b-_xlpm.v_a+1)-NETWORKDAYS(_xlpm.v_a,_xlpm.v_b,공휴일목록)&gt;0,"포함","")))</calculatedColumnFormula>
    </tableColumn>
    <tableColumn id="26" name="서울급여">
      <calculatedColumnFormula>IF(상세표[[#This Row],[사번키]]="","",IF(ISNUMBER(_xlfn.XMATCH(상세표[[#This Row],[사번키]],서울명단표[사번키])),"해당","비해당"))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J7" headerRowCount="1">
  <tableColumns count="10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서울명단표" displayName="서울명단표" ref="A1:P3" headerRowCount="1">
  <tableColumns count="16">
    <tableColumn id="1" name="번호"/>
    <tableColumn id="2" name="이름"/>
    <tableColumn id="3" name="사번"/>
    <tableColumn id="4" name="전공의등록번호"/>
    <tableColumn id="5" name="수련과목"/>
    <tableColumn id="6" name="연차"/>
    <tableColumn id="7" name="소속병원"/>
    <tableColumn id="8" name="구분"/>
    <tableColumn id="9" name="현재 근무병원"/>
    <tableColumn id="10" name="구리 근무 시작일"/>
    <tableColumn id="11" name="구리 근무 종료일"/>
    <tableColumn id="12" name="서울 근무일"/>
    <tableColumn id="13" name="구리 근무일"/>
    <tableColumn id="14" name="판정 근거"/>
    <tableColumn id="15" name="점검"/>
    <tableColumn id="16" name="사번키">
      <calculatedColumnFormula>IF(TRIM(서울명단표[[#This Row],[사번]]&amp;"")="","","S|"&amp;TRIM(서울명단표[[#This Row],[사번]]&amp;""))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묶기 · 서울급여 해당 판정 (Microsoft 365 전용, 인원·행 제한 없음)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입력_시간외상세: '월별 전공의 시간외 근무 상세내역'의 5행부터 끝까지를 A5에 붙여넣기 (부서·사번·성명·직위·근무일자·시작시간·종료시간·06~07·07~18·18~22·22~06시)</t>
        </is>
      </c>
    </row>
    <row r="5">
      <c r="A5" s="2" t="inlineStr">
        <is>
          <t>• 입력_시간외합계: '월별 전공의 시간외 근무'의 5행부터 끝까지를 A5에 붙여넣기 (부서·사번·성명·직위·직위(변환)·시간대 4개)</t>
        </is>
      </c>
    </row>
    <row r="6">
      <c r="A6" s="2" t="inlineStr">
        <is>
          <t>• 입력_서울급여명단: 전공의 파견 모니터링 파일의 출력_서울급여를 값으로 복사해 A2부터 붙여넣기 (번호~점검 15개 열)</t>
        </is>
      </c>
    </row>
    <row r="7">
      <c r="A7" s="2" t="inlineStr">
        <is>
          <t>• 출력_연속근무: 이어진 근무를 한 줄로 묶어 사번·시작 시각 순으로 빈 줄 없이 표시 (주말·휴일 포함, 36시간 초과, 서울급여 해당 표시)</t>
        </is>
      </c>
    </row>
    <row r="8">
      <c r="A8" s="2" t="inlineStr">
        <is>
          <t>• 출력_서울급여판정: 시간외 합계의 사람마다 서울급여 해당/비해당, 서울급여명단의 판정 근거, 상세내역과 합계의 시간 대조</t>
        </is>
      </c>
    </row>
    <row r="9">
      <c r="A9" s="2" t="inlineStr">
        <is>
          <t>• 설정: 연속으로 볼 최대 공백(분), 공휴일 목록</t>
        </is>
      </c>
    </row>
    <row r="10">
      <c r="A10" s="2" t="inlineStr"/>
    </row>
    <row r="11">
      <c r="A11" s="3" t="inlineStr">
        <is>
          <t>[연속 근무 판단]</t>
        </is>
      </c>
    </row>
    <row r="12">
      <c r="A12" s="2" t="inlineStr">
        <is>
          <t>• 같은 사번에서 어떤 근무의 시작 시각이 다른 근무의 종료 시각과 같거나(공백 0분) 그 사이에 있으면(겹침) 이어진 근무로 봅니다. 설정에서 허용 공백(분)을 늘릴 수 있습니다.</t>
        </is>
      </c>
    </row>
    <row r="13">
      <c r="A13" s="2" t="inlineStr">
        <is>
          <t>• 예: 09-04 06:00~20:00 + 09-04 20:00~09-05 08:00 → 09-04 06:00~09-05 08:00 (26시간, 기록 2개)</t>
        </is>
      </c>
    </row>
    <row r="14">
      <c r="A14" s="2" t="inlineStr">
        <is>
          <t>• 상세내역의 행 순서와 관계없이 시작 시각으로 찾습니다. 여러 달을 이어 붙이면 월말·월초에 걸친 근무도 이어집니다.</t>
        </is>
      </c>
    </row>
    <row r="15">
      <c r="A15" s="2" t="inlineStr">
        <is>
          <t>• 주말·휴일 포함: 연속 근무가 토·일 또는 설정의 공휴일에 하루라도 걸치면 '포함'. 36시간 초과 연속 근무는 빨간색(전공의법 연속수련 한도 참고).</t>
        </is>
      </c>
    </row>
    <row r="16">
      <c r="A16" s="2" t="inlineStr"/>
    </row>
    <row r="17">
      <c r="A17" s="3" t="inlineStr">
        <is>
          <t>[서울급여 해당 판단]</t>
        </is>
      </c>
    </row>
    <row r="18">
      <c r="A18" s="2" t="inlineStr">
        <is>
          <t>• 사번이 입력_서울급여명단에 있으면 '해당', 없으면 '비해당'. 사번은 숫자/글자 구분 없이 비교합니다.</t>
        </is>
      </c>
    </row>
    <row r="19">
      <c r="A19" s="2" t="inlineStr">
        <is>
          <t>• 서울급여명단은 급여 기준월이 시간외 조회년월과 같은 달의 것을 넣어야 합니다(예: 조회년월 2026-09 → 급여 기준월 2026-09).</t>
        </is>
      </c>
    </row>
    <row r="20">
      <c r="A20" s="2" t="inlineStr">
        <is>
          <t>• 상세 대조: 합계표의 시간대별 합계와 상세내역을 사번별로 더한 값이 다르면 '불일치(차이)'로 표시합니다.</t>
        </is>
      </c>
    </row>
    <row r="21">
      <c r="A21" s="2" t="inlineStr"/>
    </row>
    <row r="22">
      <c r="A22" s="3" t="inlineStr">
        <is>
          <t>[참고]</t>
        </is>
      </c>
    </row>
    <row r="23">
      <c r="A23" s="2" t="inlineStr">
        <is>
          <t>• Microsoft 365(또는 Excel 2021 이상)에서만 정상 동작합니다. 출력 시트에 값을 입력하면 #SPILL! 오류가 납니다.</t>
        </is>
      </c>
    </row>
    <row r="24">
      <c r="A24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Z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5" customWidth="1" min="13" max="13"/>
    <col width="15" customWidth="1" min="14" max="14"/>
    <col width="7" customWidth="1" min="15" max="15"/>
    <col width="7" customWidth="1" min="16" max="16"/>
    <col width="15" customWidth="1" min="17" max="17"/>
    <col width="15" customWidth="1" min="18" max="18"/>
    <col width="8" customWidth="1" min="19" max="19"/>
    <col width="6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8" customWidth="1" min="26" max="26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사번키</t>
        </is>
      </c>
      <c r="M4" s="6" t="inlineStr">
        <is>
          <t>시작</t>
        </is>
      </c>
      <c r="N4" s="6" t="inlineStr">
        <is>
          <t>종료</t>
        </is>
      </c>
      <c r="O4" s="6" t="inlineStr">
        <is>
          <t>이어짐</t>
        </is>
      </c>
      <c r="P4" s="6" t="inlineStr">
        <is>
          <t>블록시작</t>
        </is>
      </c>
      <c r="Q4" s="6" t="inlineStr">
        <is>
          <t>다음블록시작</t>
        </is>
      </c>
      <c r="R4" s="6" t="inlineStr">
        <is>
          <t>블록종료</t>
        </is>
      </c>
      <c r="S4" s="6" t="inlineStr">
        <is>
          <t>연속 시간</t>
        </is>
      </c>
      <c r="T4" s="6" t="inlineStr">
        <is>
          <t>기록 수</t>
        </is>
      </c>
      <c r="U4" s="6" t="inlineStr">
        <is>
          <t>블록 06~07시</t>
        </is>
      </c>
      <c r="V4" s="6" t="inlineStr">
        <is>
          <t>블록 07~18시</t>
        </is>
      </c>
      <c r="W4" s="6" t="inlineStr">
        <is>
          <t>블록 18~22시</t>
        </is>
      </c>
      <c r="X4" s="6" t="inlineStr">
        <is>
          <t>블록 22~06시</t>
        </is>
      </c>
      <c r="Y4" s="6" t="inlineStr">
        <is>
          <t>주말·휴일 포함</t>
        </is>
      </c>
      <c r="Z4" s="6" t="inlineStr">
        <is>
          <t>서울급여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2026-09-01</t>
        </is>
      </c>
      <c r="F5" s="7" t="inlineStr">
        <is>
          <t>2026-09-01 06:00</t>
        </is>
      </c>
      <c r="G5" s="7" t="inlineStr">
        <is>
          <t>2026-09-01 20:00</t>
        </is>
      </c>
      <c r="H5" s="8" t="n">
        <v>1</v>
      </c>
      <c r="I5" s="8" t="n">
        <v>11</v>
      </c>
      <c r="J5" s="8" t="n">
        <v>2</v>
      </c>
      <c r="K5" s="8" t="n">
        <v>0</v>
      </c>
      <c r="L5" s="9">
        <f>IF(TRIM(상세표[[#This Row],[사번]]&amp;"")="","","S|"&amp;TRIM(상세표[[#This Row],[사번]]&amp;""))</f>
        <v/>
      </c>
      <c r="M5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5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5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5" s="11">
        <f>IF(AND(ISNUMBER(상세표[[#This Row],[시작]]),ISNUMBER(상세표[[#This Row],[종료]]),상세표[[#This Row],[이어짐]]=""),1,0)</f>
        <v/>
      </c>
      <c r="Q5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5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5" s="12">
        <f>IF(상세표[[#This Row],[블록시작]]&lt;&gt;1,"",ROUND((상세표[[#This Row],[블록종료]]-상세표[[#This Row],[시작]])*24,2))</f>
        <v/>
      </c>
      <c r="T5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5" s="9">
        <f>IF(상세표[[#This Row],[사번키]]="","",IF(ISNUMBER(_xlfn.XMATCH(상세표[[#This Row],[사번키]],서울명단표[사번키])),"해당","비해당"))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2026-09-02</t>
        </is>
      </c>
      <c r="F6" s="7" t="inlineStr">
        <is>
          <t>2026-09-02 06:00</t>
        </is>
      </c>
      <c r="G6" s="7" t="inlineStr">
        <is>
          <t>2026-09-02 20:00</t>
        </is>
      </c>
      <c r="H6" s="8" t="n">
        <v>1</v>
      </c>
      <c r="I6" s="8" t="n">
        <v>11</v>
      </c>
      <c r="J6" s="8" t="n">
        <v>2</v>
      </c>
      <c r="K6" s="8" t="n">
        <v>0</v>
      </c>
      <c r="L6" s="9">
        <f>IF(TRIM(상세표[[#This Row],[사번]]&amp;"")="","","S|"&amp;TRIM(상세표[[#This Row],[사번]]&amp;""))</f>
        <v/>
      </c>
      <c r="M6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6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6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6" s="11">
        <f>IF(AND(ISNUMBER(상세표[[#This Row],[시작]]),ISNUMBER(상세표[[#This Row],[종료]]),상세표[[#This Row],[이어짐]]=""),1,0)</f>
        <v/>
      </c>
      <c r="Q6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6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6" s="12">
        <f>IF(상세표[[#This Row],[블록시작]]&lt;&gt;1,"",ROUND((상세표[[#This Row],[블록종료]]-상세표[[#This Row],[시작]])*24,2))</f>
        <v/>
      </c>
      <c r="T6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6" s="9">
        <f>IF(상세표[[#This Row],[사번키]]="","",IF(ISNUMBER(_xlfn.XMATCH(상세표[[#This Row],[사번키]],서울명단표[사번키])),"해당","비해당"))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IF(TRIM(상세표[[#This Row],[사번]]&amp;"")="","","S|"&amp;TRIM(상세표[[#This Row],[사번]]&amp;""))</f>
        <v/>
      </c>
      <c r="M7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7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7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7" s="11">
        <f>IF(AND(ISNUMBER(상세표[[#This Row],[시작]]),ISNUMBER(상세표[[#This Row],[종료]]),상세표[[#This Row],[이어짐]]=""),1,0)</f>
        <v/>
      </c>
      <c r="Q7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7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7" s="12">
        <f>IF(상세표[[#This Row],[블록시작]]&lt;&gt;1,"",ROUND((상세표[[#This Row],[블록종료]]-상세표[[#This Row],[시작]])*24,2))</f>
        <v/>
      </c>
      <c r="T7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7" s="9">
        <f>IF(상세표[[#This Row],[사번키]]="","",IF(ISNUMBER(_xlfn.XMATCH(상세표[[#This Row],[사번키]],서울명단표[사번키])),"해당","비해당"))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IF(TRIM(상세표[[#This Row],[사번]]&amp;"")="","","S|"&amp;TRIM(상세표[[#This Row],[사번]]&amp;""))</f>
        <v/>
      </c>
      <c r="M8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8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8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8" s="11">
        <f>IF(AND(ISNUMBER(상세표[[#This Row],[시작]]),ISNUMBER(상세표[[#This Row],[종료]]),상세표[[#This Row],[이어짐]]=""),1,0)</f>
        <v/>
      </c>
      <c r="Q8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8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8" s="12">
        <f>IF(상세표[[#This Row],[블록시작]]&lt;&gt;1,"",ROUND((상세표[[#This Row],[블록종료]]-상세표[[#This Row],[시작]])*24,2))</f>
        <v/>
      </c>
      <c r="T8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8" s="9">
        <f>IF(상세표[[#This Row],[사번키]]="","",IF(ISNUMBER(_xlfn.XMATCH(상세표[[#This Row],[사번키]],서울명단표[사번키])),"해당","비해당"))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레지던트2</t>
        </is>
      </c>
      <c r="E9" s="7" t="inlineStr">
        <is>
          <t>2026-09-05</t>
        </is>
      </c>
      <c r="F9" s="7" t="inlineStr">
        <is>
          <t>2026-09-05 20:00</t>
        </is>
      </c>
      <c r="G9" s="7" t="inlineStr">
        <is>
          <t>2026-09-06 08:00</t>
        </is>
      </c>
      <c r="H9" s="8" t="n">
        <v>1</v>
      </c>
      <c r="I9" s="8" t="n">
        <v>1</v>
      </c>
      <c r="J9" s="8" t="n">
        <v>2</v>
      </c>
      <c r="K9" s="8" t="n">
        <v>8</v>
      </c>
      <c r="L9" s="9">
        <f>IF(TRIM(상세표[[#This Row],[사번]]&amp;"")="","","S|"&amp;TRIM(상세표[[#This Row],[사번]]&amp;""))</f>
        <v/>
      </c>
      <c r="M9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9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9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9" s="11">
        <f>IF(AND(ISNUMBER(상세표[[#This Row],[시작]]),ISNUMBER(상세표[[#This Row],[종료]]),상세표[[#This Row],[이어짐]]=""),1,0)</f>
        <v/>
      </c>
      <c r="Q9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9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9" s="12">
        <f>IF(상세표[[#This Row],[블록시작]]&lt;&gt;1,"",ROUND((상세표[[#This Row],[블록종료]]-상세표[[#This Row],[시작]])*24,2))</f>
        <v/>
      </c>
      <c r="T9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9" s="9">
        <f>IF(상세표[[#This Row],[사번키]]="","",IF(ISNUMBER(_xlfn.XMATCH(상세표[[#This Row],[사번키]],서울명단표[사번키])),"해당","비해당"))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2026-09-24</t>
        </is>
      </c>
      <c r="F10" s="7" t="inlineStr">
        <is>
          <t>2026-09-24 08:00</t>
        </is>
      </c>
      <c r="G10" s="7" t="inlineStr">
        <is>
          <t>2026-09-24 20:00</t>
        </is>
      </c>
      <c r="H10" s="8" t="n">
        <v>0</v>
      </c>
      <c r="I10" s="8" t="n">
        <v>10</v>
      </c>
      <c r="J10" s="8" t="n">
        <v>2</v>
      </c>
      <c r="K10" s="8" t="n">
        <v>0</v>
      </c>
      <c r="L10" s="9">
        <f>IF(TRIM(상세표[[#This Row],[사번]]&amp;"")="","","S|"&amp;TRIM(상세표[[#This Row],[사번]]&amp;""))</f>
        <v/>
      </c>
      <c r="M10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0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0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0" s="11">
        <f>IF(AND(ISNUMBER(상세표[[#This Row],[시작]]),ISNUMBER(상세표[[#This Row],[종료]]),상세표[[#This Row],[이어짐]]=""),1,0)</f>
        <v/>
      </c>
      <c r="Q10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0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0" s="12">
        <f>IF(상세표[[#This Row],[블록시작]]&lt;&gt;1,"",ROUND((상세표[[#This Row],[블록종료]]-상세표[[#This Row],[시작]])*24,2))</f>
        <v/>
      </c>
      <c r="T10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0" s="9">
        <f>IF(상세표[[#This Row],[사번키]]="","",IF(ISNUMBER(_xlfn.XMATCH(상세표[[#This Row],[사번키]],서울명단표[사번키])),"해당","비해당"))</f>
        <v/>
      </c>
    </row>
    <row r="11">
      <c r="A11" s="7" t="inlineStr">
        <is>
          <t>ㅁㅁ과</t>
        </is>
      </c>
      <c r="B11" s="7" t="n">
        <v>3333333</v>
      </c>
      <c r="C11" s="7" t="inlineStr">
        <is>
          <t>이ㅇㅇ</t>
        </is>
      </c>
      <c r="D11" s="7" t="inlineStr">
        <is>
          <t>레지던트1</t>
        </is>
      </c>
      <c r="E11" s="7" t="inlineStr">
        <is>
          <t>2026-09-07</t>
        </is>
      </c>
      <c r="F11" s="7" t="inlineStr">
        <is>
          <t>2026-09-07 18:00</t>
        </is>
      </c>
      <c r="G11" s="7" t="inlineStr">
        <is>
          <t>2026-09-07 22:00</t>
        </is>
      </c>
      <c r="H11" s="8" t="n">
        <v>0</v>
      </c>
      <c r="I11" s="8" t="n">
        <v>0</v>
      </c>
      <c r="J11" s="8" t="n">
        <v>4</v>
      </c>
      <c r="K11" s="8" t="n">
        <v>0</v>
      </c>
      <c r="L11" s="9">
        <f>IF(TRIM(상세표[[#This Row],[사번]]&amp;"")="","","S|"&amp;TRIM(상세표[[#This Row],[사번]]&amp;""))</f>
        <v/>
      </c>
      <c r="M11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1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1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1" s="11">
        <f>IF(AND(ISNUMBER(상세표[[#This Row],[시작]]),ISNUMBER(상세표[[#This Row],[종료]]),상세표[[#This Row],[이어짐]]=""),1,0)</f>
        <v/>
      </c>
      <c r="Q11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1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1" s="12">
        <f>IF(상세표[[#This Row],[블록시작]]&lt;&gt;1,"",ROUND((상세표[[#This Row],[블록종료]]-상세표[[#This Row],[시작]])*24,2))</f>
        <v/>
      </c>
      <c r="T11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1" s="9">
        <f>IF(상세표[[#This Row],[사번키]]="","",IF(ISNUMBER(_xlfn.XMATCH(상세표[[#This Row],[사번키]],서울명단표[사번키])),"해당","비해당"))</f>
        <v/>
      </c>
    </row>
    <row r="12">
      <c r="A12" s="7" t="inlineStr">
        <is>
          <t>ㅁㅁ과</t>
        </is>
      </c>
      <c r="B12" s="7" t="n">
        <v>3333333</v>
      </c>
      <c r="C12" s="7" t="inlineStr">
        <is>
          <t>이ㅇㅇ</t>
        </is>
      </c>
      <c r="D12" s="7" t="inlineStr">
        <is>
          <t>레지던트1</t>
        </is>
      </c>
      <c r="E12" s="7" t="inlineStr">
        <is>
          <t>2026-09-07</t>
        </is>
      </c>
      <c r="F12" s="7" t="inlineStr">
        <is>
          <t>2026-09-07 07:00</t>
        </is>
      </c>
      <c r="G12" s="7" t="inlineStr">
        <is>
          <t>2026-09-07 18:00</t>
        </is>
      </c>
      <c r="H12" s="8" t="n">
        <v>0</v>
      </c>
      <c r="I12" s="8" t="n">
        <v>11</v>
      </c>
      <c r="J12" s="8" t="n">
        <v>0</v>
      </c>
      <c r="K12" s="8" t="n">
        <v>0</v>
      </c>
      <c r="L12" s="9">
        <f>IF(TRIM(상세표[[#This Row],[사번]]&amp;"")="","","S|"&amp;TRIM(상세표[[#This Row],[사번]]&amp;""))</f>
        <v/>
      </c>
      <c r="M12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2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2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2" s="11">
        <f>IF(AND(ISNUMBER(상세표[[#This Row],[시작]]),ISNUMBER(상세표[[#This Row],[종료]]),상세표[[#This Row],[이어짐]]=""),1,0)</f>
        <v/>
      </c>
      <c r="Q12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2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2" s="12">
        <f>IF(상세표[[#This Row],[블록시작]]&lt;&gt;1,"",ROUND((상세표[[#This Row],[블록종료]]-상세표[[#This Row],[시작]])*24,2))</f>
        <v/>
      </c>
      <c r="T12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2" s="9">
        <f>IF(상세표[[#This Row],[사번키]]="","",IF(ISNUMBER(_xlfn.XMATCH(상세표[[#This Row],[사번키]],서울명단표[사번키])),"해당","비해당"))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J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5.00</t>
        </is>
      </c>
      <c r="G5" s="7" t="inlineStr">
        <is>
          <t>45.00</t>
        </is>
      </c>
      <c r="H5" s="7" t="inlineStr">
        <is>
          <t>12.00</t>
        </is>
      </c>
      <c r="I5" s="7" t="inlineStr">
        <is>
          <t>16.00</t>
        </is>
      </c>
      <c r="J5" s="9">
        <f>IF(TRIM(합계표[[#This Row],[사번]]&amp;"")="","","S|"&amp;TRIM(합계표[[#This Row],[사번]]&amp;""))</f>
        <v/>
      </c>
    </row>
    <row r="6">
      <c r="A6" s="7" t="inlineStr">
        <is>
          <t>ㅁㅁ과</t>
        </is>
      </c>
      <c r="B6" s="7" t="n">
        <v>3333333</v>
      </c>
      <c r="C6" s="7" t="inlineStr">
        <is>
          <t>이ㅇㅇ</t>
        </is>
      </c>
      <c r="D6" s="7" t="inlineStr">
        <is>
          <t>레지던트1</t>
        </is>
      </c>
      <c r="E6" s="7" t="inlineStr">
        <is>
          <t>레지던트1</t>
        </is>
      </c>
      <c r="F6" s="7" t="inlineStr">
        <is>
          <t>0.00</t>
        </is>
      </c>
      <c r="G6" s="7" t="inlineStr">
        <is>
          <t>11.00</t>
        </is>
      </c>
      <c r="H6" s="7" t="inlineStr">
        <is>
          <t>4.00</t>
        </is>
      </c>
      <c r="I6" s="7" t="inlineStr">
        <is>
          <t>0.00</t>
        </is>
      </c>
      <c r="J6" s="9">
        <f>IF(TRIM(합계표[[#This Row],[사번]]&amp;"")="","","S|"&amp;TRIM(합계표[[#This Row],[사번]]&amp;""))</f>
        <v/>
      </c>
    </row>
    <row r="7">
      <c r="A7" s="7" t="inlineStr">
        <is>
          <t>△△과</t>
        </is>
      </c>
      <c r="B7" s="7" t="n">
        <v>4444444</v>
      </c>
      <c r="C7" s="7" t="inlineStr">
        <is>
          <t>박ㅇㅇ</t>
        </is>
      </c>
      <c r="D7" s="7" t="inlineStr">
        <is>
          <t>레지던트3</t>
        </is>
      </c>
      <c r="E7" s="7" t="inlineStr">
        <is>
          <t>레지던트3</t>
        </is>
      </c>
      <c r="F7" s="7" t="inlineStr">
        <is>
          <t>0.00</t>
        </is>
      </c>
      <c r="G7" s="7" t="inlineStr">
        <is>
          <t>8.00</t>
        </is>
      </c>
      <c r="H7" s="7" t="inlineStr">
        <is>
          <t>0.00</t>
        </is>
      </c>
      <c r="I7" s="7" t="inlineStr">
        <is>
          <t>0.00</t>
        </is>
      </c>
      <c r="J7" s="9">
        <f>IF(TRIM(합계표[[#This Row],[사번]]&amp;"")="","","S|"&amp;TRIM(합계표[[#This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P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1" customWidth="1" min="4" max="4"/>
    <col width="12" customWidth="1" min="5" max="5"/>
    <col width="9" customWidth="1" min="6" max="6"/>
    <col width="9" customWidth="1" min="7" max="7"/>
    <col width="18" customWidth="1" min="8" max="8"/>
    <col width="10" customWidth="1" min="9" max="9"/>
    <col width="11" customWidth="1" min="10" max="10"/>
    <col width="11" customWidth="1" min="11" max="11"/>
    <col width="7" customWidth="1" min="12" max="12"/>
    <col width="7" customWidth="1" min="13" max="13"/>
    <col width="30" customWidth="1" min="14" max="14"/>
    <col width="14" customWidth="1" min="15" max="15"/>
    <col width="10" customWidth="1" min="16" max="16"/>
  </cols>
  <sheetData>
    <row r="1">
      <c r="A1" s="5" t="inlineStr">
        <is>
          <t>번호</t>
        </is>
      </c>
      <c r="B1" s="5" t="inlineStr">
        <is>
          <t>이름</t>
        </is>
      </c>
      <c r="C1" s="5" t="inlineStr">
        <is>
          <t>사번</t>
        </is>
      </c>
      <c r="D1" s="5" t="inlineStr">
        <is>
          <t>전공의등록번호</t>
        </is>
      </c>
      <c r="E1" s="5" t="inlineStr">
        <is>
          <t>수련과목</t>
        </is>
      </c>
      <c r="F1" s="5" t="inlineStr">
        <is>
          <t>연차</t>
        </is>
      </c>
      <c r="G1" s="5" t="inlineStr">
        <is>
          <t>소속병원</t>
        </is>
      </c>
      <c r="H1" s="5" t="inlineStr">
        <is>
          <t>구분</t>
        </is>
      </c>
      <c r="I1" s="5" t="inlineStr">
        <is>
          <t>현재 근무병원</t>
        </is>
      </c>
      <c r="J1" s="5" t="inlineStr">
        <is>
          <t>구리 근무 시작일</t>
        </is>
      </c>
      <c r="K1" s="5" t="inlineStr">
        <is>
          <t>구리 근무 종료일</t>
        </is>
      </c>
      <c r="L1" s="5" t="inlineStr">
        <is>
          <t>서울 근무일</t>
        </is>
      </c>
      <c r="M1" s="5" t="inlineStr">
        <is>
          <t>구리 근무일</t>
        </is>
      </c>
      <c r="N1" s="5" t="inlineStr">
        <is>
          <t>판정 근거</t>
        </is>
      </c>
      <c r="O1" s="5" t="inlineStr">
        <is>
          <t>점검</t>
        </is>
      </c>
      <c r="P1" s="6" t="inlineStr">
        <is>
          <t>사번키</t>
        </is>
      </c>
    </row>
    <row r="2">
      <c r="A2" s="7" t="n">
        <v>1</v>
      </c>
      <c r="B2" s="7" t="inlineStr">
        <is>
          <t>김ㅇㅇ</t>
        </is>
      </c>
      <c r="C2" s="13" t="inlineStr">
        <is>
          <t>2222222</t>
        </is>
      </c>
      <c r="D2" s="7" t="inlineStr">
        <is>
          <t>11-1111</t>
        </is>
      </c>
      <c r="E2" s="7" t="inlineStr">
        <is>
          <t>ㅇㅇ과</t>
        </is>
      </c>
      <c r="F2" s="7" t="inlineStr">
        <is>
          <t>레지던트2</t>
        </is>
      </c>
      <c r="G2" s="7" t="inlineStr">
        <is>
          <t>서울병원</t>
        </is>
      </c>
      <c r="H2" s="7" t="inlineStr">
        <is>
          <t>서울 소속</t>
        </is>
      </c>
      <c r="I2" s="7" t="inlineStr">
        <is>
          <t>서울병원</t>
        </is>
      </c>
      <c r="J2" s="7" t="inlineStr"/>
      <c r="K2" s="7" t="inlineStr"/>
      <c r="L2" s="7" t="n">
        <v>30</v>
      </c>
      <c r="M2" s="7" t="n">
        <v>0</v>
      </c>
      <c r="N2" s="7" t="inlineStr">
        <is>
          <t>구리 근무자명단에 없음 → 소속병원 지급</t>
        </is>
      </c>
      <c r="O2" s="7" t="inlineStr">
        <is>
          <t>정상</t>
        </is>
      </c>
      <c r="P2" s="9">
        <f>IF(TRIM(서울명단표[[#This Row],[사번]]&amp;"")="","","S|"&amp;TRIM(서울명단표[[#This Row],[사번]]&amp;""))</f>
        <v/>
      </c>
    </row>
    <row r="3">
      <c r="A3" s="7" t="n">
        <v>2</v>
      </c>
      <c r="B3" s="7" t="inlineStr">
        <is>
          <t>최ㅇㅇ</t>
        </is>
      </c>
      <c r="C3" s="13" t="inlineStr">
        <is>
          <t>5555555</t>
        </is>
      </c>
      <c r="D3" s="7" t="inlineStr">
        <is>
          <t>11-2222</t>
        </is>
      </c>
      <c r="E3" s="7" t="inlineStr">
        <is>
          <t>ㅇㅇ과</t>
        </is>
      </c>
      <c r="F3" s="7" t="inlineStr">
        <is>
          <t>레지던트1</t>
        </is>
      </c>
      <c r="G3" s="7" t="inlineStr">
        <is>
          <t>서울병원</t>
        </is>
      </c>
      <c r="H3" s="7" t="inlineStr">
        <is>
          <t>서울 소속</t>
        </is>
      </c>
      <c r="I3" s="7" t="inlineStr">
        <is>
          <t>서울병원</t>
        </is>
      </c>
      <c r="J3" s="7" t="inlineStr"/>
      <c r="K3" s="7" t="inlineStr"/>
      <c r="L3" s="7" t="n">
        <v>30</v>
      </c>
      <c r="M3" s="7" t="n">
        <v>0</v>
      </c>
      <c r="N3" s="7" t="inlineStr">
        <is>
          <t>구리 근무자명단에 없음 → 소속병원 지급</t>
        </is>
      </c>
      <c r="O3" s="7" t="inlineStr">
        <is>
          <t>정상</t>
        </is>
      </c>
      <c r="P3" s="9">
        <f>IF(TRIM(서울명단표[[#This Row],[사번]]&amp;"")="","","S|"&amp;TRIM(서울명단표[[#This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자동으로 펼쳐지는 목록입니다(입력 금지). 같은 사번에서 앞 근무의 종료 시각과 다음 근무의 시작 시각이 이어지면(설정의 허용 공백 이내) 한 줄로 묶고, 사번·시작 시각 순으로 빈 줄 없이 보여줍니다.</t>
        </is>
      </c>
    </row>
    <row r="3">
      <c r="A3" s="14" t="inlineStr">
        <is>
          <t>연속 근무 건수</t>
        </is>
      </c>
      <c r="B3" s="15">
        <f>COUNTIF(상세표[블록시작],1)</f>
        <v/>
      </c>
      <c r="C3" s="14" t="inlineStr">
        <is>
          <t>2개 이상 기록을 묶은 건수</t>
        </is>
      </c>
      <c r="D3" s="15">
        <f>COUNTIFS(상세표[블록시작],1,상세표[기록 수],"&gt;1")</f>
        <v/>
      </c>
      <c r="E3" s="14" t="inlineStr">
        <is>
          <t>주말·휴일 포함 건수</t>
        </is>
      </c>
      <c r="F3" s="15">
        <f>COUNTIF(상세표[주말·휴일 포함],"포함")</f>
        <v/>
      </c>
      <c r="G3" s="14" t="inlineStr">
        <is>
          <t>36시간 초과 건수</t>
        </is>
      </c>
      <c r="H3" s="15">
        <f>COUNTIFS(상세표[블록시작],1,상세표[연속 시간],"&gt;36")</f>
        <v/>
      </c>
      <c r="I3" s="14" t="inlineStr">
        <is>
          <t>시각 형식 오류</t>
        </is>
      </c>
      <c r="J3" s="15">
        <f>COUNTIF(상세표[시작],"⚠*")+COUNTIF(상세표[종료],"⚠*")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서울급여</t>
        </is>
      </c>
    </row>
    <row r="6">
      <c r="A6" cm="1">
        <f t="array" ref="A6">IF(COUNTIF(상세표[블록시작],1)=0,"연속 근무 없음",_xlfn._xlws.SORT(IF(ROWS(상세표[사번])=1,IF(AND(상세표[블록시작]=1),CHOOSE({1,2,3,4,5,6,7,8,9,10,11,12,13,14,15},상세표[사번]&amp;"",상세표[성명],상세표[부서],상세표[직위],IF(ISNUMBER(상세표[시작]),TEXT(상세표[시작],"yyyy-mm-dd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포함],상세표[서울급여]),""),_xlfn._xlws.FILTER(CHOOSE({1,2,3,4,5,6,7,8,9,10,11,12,13,14,15},상세표[사번]&amp;"",상세표[성명],상세표[부서],상세표[직위],IF(ISNUMBER(상세표[시작]),TEXT(상세표[시작],"yyyy-mm-dd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포함],상세표[서울급여]),상세표[블록시작]=1)),{1,5}))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O20005">
    <cfRule type="expression" priority="3" dxfId="0">
      <formula>AND(ISNUMBER($H6),$H6&gt;36)</formula>
    </cfRule>
    <cfRule type="expression" priority="4" dxfId="1">
      <formula>$N6="포함"</formula>
    </cfRule>
  </conditionalFormatting>
  <conditionalFormatting sqref="I6:I20005">
    <cfRule type="expression" priority="5" dxfId="2">
      <formula>AND(ISNUMBER($I6),$I6&gt;1)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T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8" customWidth="1" min="10" max="10"/>
    <col width="9" customWidth="1" min="11" max="11"/>
    <col width="16" customWidth="1" min="12" max="12"/>
    <col width="34" customWidth="1" min="13" max="13"/>
    <col width="8" customWidth="1" min="14" max="14"/>
    <col width="14" customWidth="1" min="15" max="15"/>
    <col width="3" customWidth="1" min="16" max="16"/>
    <col width="10" customWidth="1" min="17" max="17"/>
    <col width="8" customWidth="1" min="18" max="18"/>
    <col width="12" customWidth="1" min="19" max="19"/>
    <col width="9" customWidth="1" min="20" max="20"/>
  </cols>
  <sheetData>
    <row r="1">
      <c r="A1" s="1" t="inlineStr">
        <is>
          <t>시간외 근무자 서울급여 해당 여부</t>
        </is>
      </c>
    </row>
    <row r="2">
      <c r="A2" s="4" t="inlineStr">
        <is>
          <t>※ 자동 결과(입력 금지). 시간외 합계의 사번이 입력_서울급여명단에 있으면 '해당'. 상세 합계는 입력_시간외상세의 시간을 사번별로 더한 값으로, 합계표와 다르면 빨갛게 표시합니다.</t>
        </is>
      </c>
    </row>
    <row r="3">
      <c r="A3" s="14" t="inlineStr">
        <is>
          <t>시간외 인원</t>
        </is>
      </c>
      <c r="B3" s="15">
        <f>SUMPRODUCT(--(TRIM(합계표[사번]&amp;"")&lt;&gt;""))</f>
        <v/>
      </c>
      <c r="C3" s="14" t="inlineStr">
        <is>
          <t>서울급여 해당</t>
        </is>
      </c>
      <c r="D3" s="15">
        <f>SUMPRODUCT((합계표[사번키]&lt;&gt;"")*ISNUMBER(_xlfn.XMATCH(합계표[사번키],서울명단표[사번키])))</f>
        <v/>
      </c>
      <c r="E3" s="14" t="inlineStr">
        <is>
          <t>비해당</t>
        </is>
      </c>
      <c r="F3" s="15">
        <f>B3-D3</f>
        <v/>
      </c>
      <c r="G3" s="14" t="inlineStr">
        <is>
          <t>상세·합계 불일치</t>
        </is>
      </c>
      <c r="H3" s="15">
        <f>COUNTIF($O$6:$O$20005,"불일치*")</f>
        <v/>
      </c>
      <c r="I3" s="14" t="inlineStr">
        <is>
          <t>상세에만 있는 사번(기록 수)</t>
        </is>
      </c>
      <c r="J3" s="15">
        <f>SUMPRODUCT((상세표[사번키]&lt;&gt;"")*ISNA(_xlfn.XMATCH(상세표[사번키],합계표[사번키])))</f>
        <v/>
      </c>
    </row>
    <row r="4">
      <c r="Q4" s="3" t="inlineStr">
        <is>
          <t>서울급여 명단에 있으나 시간외 합계에 없는 사람</t>
        </is>
      </c>
    </row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직위(변환)</t>
        </is>
      </c>
      <c r="E5" s="5" t="inlineStr">
        <is>
          <t>06~07시</t>
        </is>
      </c>
      <c r="F5" s="5" t="inlineStr">
        <is>
          <t>07~18시</t>
        </is>
      </c>
      <c r="G5" s="5" t="inlineStr">
        <is>
          <t>18~22시</t>
        </is>
      </c>
      <c r="H5" s="5" t="inlineStr">
        <is>
          <t>22~06시</t>
        </is>
      </c>
      <c r="I5" s="5" t="inlineStr">
        <is>
          <t>합계(시간)</t>
        </is>
      </c>
      <c r="J5" s="5" t="inlineStr">
        <is>
          <t>서울급여</t>
        </is>
      </c>
      <c r="K5" s="5" t="inlineStr">
        <is>
          <t>소속병원</t>
        </is>
      </c>
      <c r="L5" s="5" t="inlineStr">
        <is>
          <t>구분</t>
        </is>
      </c>
      <c r="M5" s="5" t="inlineStr">
        <is>
          <t>판정 근거(서울급여명단)</t>
        </is>
      </c>
      <c r="N5" s="5" t="inlineStr">
        <is>
          <t>상세 합계</t>
        </is>
      </c>
      <c r="O5" s="5" t="inlineStr">
        <is>
          <t>상세 대조</t>
        </is>
      </c>
      <c r="Q5" s="5" t="inlineStr">
        <is>
          <t>사번</t>
        </is>
      </c>
      <c r="R5" s="5" t="inlineStr">
        <is>
          <t>이름</t>
        </is>
      </c>
      <c r="S5" s="5" t="inlineStr">
        <is>
          <t>수련과목</t>
        </is>
      </c>
      <c r="T5" s="5" t="inlineStr">
        <is>
          <t>연차</t>
        </is>
      </c>
    </row>
    <row r="6">
      <c r="A6" cm="1">
        <f t="array" ref="A6">_xlfn.LET(_xlpm.v_k,TRIM(합계표[사번]&amp;"")&lt;&gt;"",_xlpm.v_in,ISNUMBER(_xlfn.XMATCH(합계표[사번키],서울명단표[사번키])),_xlpm.v_1,IFERROR(VALUE(TRIM(합계표[06~07시]&amp;"")),0),_xlpm.v_2,IFERROR(VALUE(TRIM(합계표[07~18시]&amp;"")),0),_xlpm.v_3,IFERROR(VALUE(TRIM(합계표[18~22시]&amp;"")),0),_xlpm.v_4,IFERROR(VALUE(TRIM(합계표[22~06시]&amp;"")),0),_xlpm.v_t,_xlpm.v_1+_xlpm.v_2+_xlpm.v_3+_xlpm.v_4,_xlpm.v_d,SUMIFS(상세표[06~07시],상세표[사번키],합계표[사번키])+SUMIFS(상세표[07~18시],상세표[사번키],합계표[사번키])+SUMIFS(상세표[18~22시],상세표[사번키],합계표[사번키])+SUMIFS(상세표[22~06시],상세표[사번키],합계표[사번키]),_xlpm.v_ok,IF(ABS(_xlpm.v_t-_xlpm.v_d)&lt;0.01,"일치","불일치(차이 "&amp;TEXT(_xlpm.v_d-_xlpm.v_t,"0.00")&amp;")"),_xlpm.v_a,CHOOSE({1,2,3,4,5,6,7,8,9,10,11,12,13,14,15},합계표[사번]&amp;"",합계표[성명],합계표[부서],합계표[직위(변환)],_xlpm.v_1,_xlpm.v_2,_xlpm.v_3,_xlpm.v_4,_xlpm.v_t,IF(_xlpm.v_in,"해당","비해당"),_xlfn.XLOOKUP(합계표[사번키],서울명단표[사번키],서울명단표[소속병원]&amp;"",""),_xlfn.XLOOKUP(합계표[사번키],서울명단표[사번키],서울명단표[구분]&amp;"",""),_xlfn.XLOOKUP(합계표[사번키],서울명단표[사번키],서울명단표[판정 근거]&amp;"",""),_xlpm.v_d,_xlpm.v_ok),IF(SUM(--_xlpm.v_k)=0,"시간외 합계 없음",IF(ROWS(합계표[사번])=1,IF(AND(_xlpm.v_k),_xlpm.v_a,""),_xlfn._xlws.FILTER(_xlpm.v_a,_xlpm.v_k))))</f>
        <v/>
      </c>
      <c r="Q6" cm="1">
        <f t="array" ref="Q6">_xlfn.LET(_xlpm.v_m,(서울명단표[사번키]&lt;&gt;"")*ISNA(_xlfn.XMATCH(서울명단표[사번키],합계표[사번키])),_xlpm.v_a,CHOOSE({1,2,3,4},서울명단표[사번]&amp;"",서울명단표[이름],서울명단표[수련과목]&amp;"",서울명단표[연차]&amp;""),IF(SUM(_xlpm.v_m)=0,"없음",IF(ROWS(서울명단표[사번])=1,IF(AND(_xlpm.v_m=1),_xlpm.v_a,""),_xlfn._xlws.FILTER(_xlpm.v_a,_xlpm.v_m=1)))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O20005">
    <cfRule type="expression" priority="3" dxfId="3">
      <formula>$J6="비해당"</formula>
    </cfRule>
  </conditionalFormatting>
  <conditionalFormatting sqref="O6:O20005">
    <cfRule type="expression" priority="4" dxfId="4">
      <formula>LEFT($O6,3)="불일치"</formula>
    </cfRule>
  </conditionalFormatting>
  <conditionalFormatting sqref="J6:J20005">
    <cfRule type="expression" priority="5" dxfId="5">
      <formula>$J6="해당"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16" t="inlineStr">
        <is>
          <t>연속으로 볼 최대 공백(분)</t>
        </is>
      </c>
      <c r="B2" s="17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/>
    <row r="5">
      <c r="A5" s="3" t="inlineStr">
        <is>
          <t>공휴일 (주말·휴일 포함 여부 판단에 사용 — 표 아래에 계속 추가, 2027년은 확정 후 추가)</t>
        </is>
      </c>
    </row>
    <row r="6">
      <c r="A6" s="5" t="inlineStr">
        <is>
          <t>날짜</t>
        </is>
      </c>
      <c r="B6" s="5" t="inlineStr">
        <is>
          <t>이름</t>
        </is>
      </c>
    </row>
    <row r="7">
      <c r="A7" s="18" t="n">
        <v>46023</v>
      </c>
      <c r="B7" s="7" t="inlineStr">
        <is>
          <t>신정</t>
        </is>
      </c>
    </row>
    <row r="8">
      <c r="A8" s="18" t="n">
        <v>46069</v>
      </c>
      <c r="B8" s="7" t="inlineStr">
        <is>
          <t>설날 연휴</t>
        </is>
      </c>
    </row>
    <row r="9">
      <c r="A9" s="18" t="n">
        <v>46070</v>
      </c>
      <c r="B9" s="7" t="inlineStr">
        <is>
          <t>설날</t>
        </is>
      </c>
    </row>
    <row r="10">
      <c r="A10" s="18" t="n">
        <v>46071</v>
      </c>
      <c r="B10" s="7" t="inlineStr">
        <is>
          <t>설날 연휴</t>
        </is>
      </c>
    </row>
    <row r="11">
      <c r="A11" s="18" t="n">
        <v>46082</v>
      </c>
      <c r="B11" s="7" t="inlineStr">
        <is>
          <t>삼일절</t>
        </is>
      </c>
    </row>
    <row r="12">
      <c r="A12" s="18" t="n">
        <v>46083</v>
      </c>
      <c r="B12" s="7" t="inlineStr">
        <is>
          <t>대체공휴일(삼일절)</t>
        </is>
      </c>
    </row>
    <row r="13">
      <c r="A13" s="18" t="n">
        <v>46147</v>
      </c>
      <c r="B13" s="7" t="inlineStr">
        <is>
          <t>어린이날</t>
        </is>
      </c>
    </row>
    <row r="14">
      <c r="A14" s="18" t="n">
        <v>46166</v>
      </c>
      <c r="B14" s="7" t="inlineStr">
        <is>
          <t>부처님오신날</t>
        </is>
      </c>
    </row>
    <row r="15">
      <c r="A15" s="18" t="n">
        <v>46167</v>
      </c>
      <c r="B15" s="7" t="inlineStr">
        <is>
          <t>대체공휴일(부처님오신날)</t>
        </is>
      </c>
    </row>
    <row r="16">
      <c r="A16" s="18" t="n">
        <v>46176</v>
      </c>
      <c r="B16" s="7" t="inlineStr">
        <is>
          <t>전국동시지방선거</t>
        </is>
      </c>
    </row>
    <row r="17">
      <c r="A17" s="18" t="n">
        <v>46179</v>
      </c>
      <c r="B17" s="7" t="inlineStr">
        <is>
          <t>현충일</t>
        </is>
      </c>
    </row>
    <row r="18">
      <c r="A18" s="18" t="n">
        <v>46249</v>
      </c>
      <c r="B18" s="7" t="inlineStr">
        <is>
          <t>광복절</t>
        </is>
      </c>
    </row>
    <row r="19">
      <c r="A19" s="18" t="n">
        <v>46251</v>
      </c>
      <c r="B19" s="7" t="inlineStr">
        <is>
          <t>대체공휴일(광복절)</t>
        </is>
      </c>
    </row>
    <row r="20">
      <c r="A20" s="18" t="n">
        <v>46289</v>
      </c>
      <c r="B20" s="7" t="inlineStr">
        <is>
          <t>추석 연휴</t>
        </is>
      </c>
    </row>
    <row r="21">
      <c r="A21" s="18" t="n">
        <v>46290</v>
      </c>
      <c r="B21" s="7" t="inlineStr">
        <is>
          <t>추석</t>
        </is>
      </c>
    </row>
    <row r="22">
      <c r="A22" s="18" t="n">
        <v>46291</v>
      </c>
      <c r="B22" s="7" t="inlineStr">
        <is>
          <t>추석 연휴</t>
        </is>
      </c>
    </row>
    <row r="23">
      <c r="A23" s="18" t="n">
        <v>46298</v>
      </c>
      <c r="B23" s="7" t="inlineStr">
        <is>
          <t>개천절</t>
        </is>
      </c>
    </row>
    <row r="24">
      <c r="A24" s="18" t="n">
        <v>46300</v>
      </c>
      <c r="B24" s="7" t="inlineStr">
        <is>
          <t>대체공휴일(개천절)</t>
        </is>
      </c>
    </row>
    <row r="25">
      <c r="A25" s="18" t="n">
        <v>46304</v>
      </c>
      <c r="B25" s="7" t="inlineStr">
        <is>
          <t>한글날</t>
        </is>
      </c>
    </row>
    <row r="26">
      <c r="A26" s="18" t="n">
        <v>46381</v>
      </c>
      <c r="B26" s="7" t="inlineStr">
        <is>
          <t>성탄절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2026-10-06T05:53:16Z</dcterms:created>
  <dcterms:modified xmlns:dcterms="http://purl.org/dc/terms/" xmlns:xsi="http://www.w3.org/2001/XMLSchema-instance" xsi:type="dcterms:W3CDTF">2026-10-06T05:53:16Z</dcterms:modified>
</cp:coreProperties>
</file>